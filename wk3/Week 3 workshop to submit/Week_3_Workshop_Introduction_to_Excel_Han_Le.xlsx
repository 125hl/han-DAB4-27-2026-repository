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8EA17ACC-846C-4C22-AE26-1AF3481EE84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Week 3 - Introduction to Excel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F4" i="1"/>
  <c r="F5" i="1"/>
  <c r="F6" i="1"/>
  <c r="L11" i="1" s="1"/>
  <c r="F7" i="1"/>
  <c r="F8" i="1"/>
  <c r="F9" i="1"/>
  <c r="F10" i="1"/>
  <c r="F11" i="1"/>
  <c r="L14" i="1" s="1"/>
  <c r="F3" i="1"/>
  <c r="L10" i="1" l="1"/>
  <c r="I3" i="1"/>
  <c r="L13" i="1"/>
  <c r="L12" i="1"/>
</calcChain>
</file>

<file path=xl/sharedStrings.xml><?xml version="1.0" encoding="utf-8"?>
<sst xmlns="http://schemas.openxmlformats.org/spreadsheetml/2006/main" count="46" uniqueCount="34">
  <si>
    <t>Monthly Sales Dashboard</t>
  </si>
  <si>
    <t>Product</t>
  </si>
  <si>
    <t>Category</t>
  </si>
  <si>
    <t>Jan Sales</t>
  </si>
  <si>
    <t>Feb Sales</t>
  </si>
  <si>
    <t>Mar Sales</t>
  </si>
  <si>
    <t>Total Sales</t>
  </si>
  <si>
    <t>Summary Statistics</t>
  </si>
  <si>
    <t>Laptop</t>
  </si>
  <si>
    <t>Electronics</t>
  </si>
  <si>
    <t>Smartphone</t>
  </si>
  <si>
    <t>Average Monthly Sales</t>
  </si>
  <si>
    <t>Headphones</t>
  </si>
  <si>
    <t>Best Month</t>
  </si>
  <si>
    <t>Desk Chair</t>
  </si>
  <si>
    <t>Furniture</t>
  </si>
  <si>
    <t>Worst Month</t>
  </si>
  <si>
    <t>Coffee Maker</t>
  </si>
  <si>
    <t>Appliances</t>
  </si>
  <si>
    <t>Blender</t>
  </si>
  <si>
    <t>T-Shirt</t>
  </si>
  <si>
    <t>Clothing</t>
  </si>
  <si>
    <t>Jeans</t>
  </si>
  <si>
    <t>Sneakers</t>
  </si>
  <si>
    <t>Footwear</t>
  </si>
  <si>
    <t>Total</t>
  </si>
  <si>
    <t>The dashboard and charts indicate that total sales reached $11,810, with an average monthly sale of $437.41, while sales</t>
  </si>
  <si>
    <t xml:space="preserve">generally increased from January to March for most products. The clustered bar chart shows that the Laptop consistently </t>
  </si>
  <si>
    <t>recorded the highest monthly sales, followe by the Smartphone, making Electronics the strongest-performing category.</t>
  </si>
  <si>
    <t xml:space="preserve">The pie chart further highlights this trend, with Electronics contributing the largest share of total sales ($7,400), far </t>
  </si>
  <si>
    <t>exceeding Clothing, Furniture, Appliances, and Footwear. Clothing ranked as the second-highest category with $1,800 in</t>
  </si>
  <si>
    <t xml:space="preserve">total sales, while Appliances generated the lowest category sales at $710. Overall, the charts demonstrate that </t>
  </si>
  <si>
    <t xml:space="preserve">Electronics was the primary driver of revenue, and most products showed steady month-to-month growth, </t>
  </si>
  <si>
    <t xml:space="preserve">suggesting positive sales momentum over the three-month period.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</si>
</sst>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Aptos Narrow"/>
      <family val="2"/>
      <scheme val="minor"/>
    </font>
    <font>
      <b/>
      <sz val="17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164" fontId="0" fillId="0" borderId="0" xfId="0" applyNumberFormat="1"/>
    <xf numFmtId="0" fontId="0" fillId="0" borderId="0" xfId="0" applyFill="1" applyAlignment="1">
      <alignment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164" fontId="0" fillId="0" borderId="4" xfId="0" applyNumberFormat="1" applyBorder="1"/>
    <xf numFmtId="164" fontId="0" fillId="0" borderId="6" xfId="0" applyNumberFormat="1" applyBorder="1"/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4" fontId="0" fillId="0" borderId="3" xfId="0" applyNumberFormat="1" applyBorder="1"/>
    <xf numFmtId="164" fontId="0" fillId="0" borderId="5" xfId="0" applyNumberFormat="1" applyBorder="1"/>
  </cellXfs>
  <cellStyles count="1">
    <cellStyle name="Normal" xfId="0" builtinId="0"/>
  </cellStyles>
  <dxfs count="5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 3 - Introduction to Excel '!$C$2</c:f>
              <c:strCache>
                <c:ptCount val="1"/>
                <c:pt idx="0">
                  <c:v>Jan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'Week 3 - Introduction to Excel '!$A$3:$B$11</c:f>
              <c:multiLvlStrCache>
                <c:ptCount val="9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Appliances</c:v>
                  </c:pt>
                  <c:pt idx="5">
                    <c:v>Appliances</c:v>
                  </c:pt>
                  <c:pt idx="6">
                    <c:v>Clothing</c:v>
                  </c:pt>
                  <c:pt idx="7">
                    <c:v>Clothing</c:v>
                  </c:pt>
                  <c:pt idx="8">
                    <c:v>Footwear</c:v>
                  </c:pt>
                </c:lvl>
                <c:lvl>
                  <c:pt idx="0">
                    <c:v>Laptop</c:v>
                  </c:pt>
                  <c:pt idx="1">
                    <c:v>Smartphone</c:v>
                  </c:pt>
                  <c:pt idx="2">
                    <c:v>Headphones</c:v>
                  </c:pt>
                  <c:pt idx="3">
                    <c:v>Desk Chair</c:v>
                  </c:pt>
                  <c:pt idx="4">
                    <c:v>Coffee Maker</c:v>
                  </c:pt>
                  <c:pt idx="5">
                    <c:v>Blender</c:v>
                  </c:pt>
                  <c:pt idx="6">
                    <c:v>T-Shirt</c:v>
                  </c:pt>
                  <c:pt idx="7">
                    <c:v>Jeans</c:v>
                  </c:pt>
                  <c:pt idx="8">
                    <c:v>Sneakers</c:v>
                  </c:pt>
                </c:lvl>
              </c:multiLvlStrCache>
            </c:multiLvlStrRef>
          </c:cat>
          <c:val>
            <c:numRef>
              <c:f>'Week 3 - Introduction to Excel '!$C$3:$C$11</c:f>
              <c:numCache>
                <c:formatCode>"$"#,##0.00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4-4D38-AF30-895D8980319D}"/>
            </c:ext>
          </c:extLst>
        </c:ser>
        <c:ser>
          <c:idx val="1"/>
          <c:order val="1"/>
          <c:tx>
            <c:strRef>
              <c:f>'Week 3 - Introduction to Excel '!$D$2</c:f>
              <c:strCache>
                <c:ptCount val="1"/>
                <c:pt idx="0">
                  <c:v>Feb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'Week 3 - Introduction to Excel '!$A$3:$B$11</c:f>
              <c:multiLvlStrCache>
                <c:ptCount val="9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Appliances</c:v>
                  </c:pt>
                  <c:pt idx="5">
                    <c:v>Appliances</c:v>
                  </c:pt>
                  <c:pt idx="6">
                    <c:v>Clothing</c:v>
                  </c:pt>
                  <c:pt idx="7">
                    <c:v>Clothing</c:v>
                  </c:pt>
                  <c:pt idx="8">
                    <c:v>Footwear</c:v>
                  </c:pt>
                </c:lvl>
                <c:lvl>
                  <c:pt idx="0">
                    <c:v>Laptop</c:v>
                  </c:pt>
                  <c:pt idx="1">
                    <c:v>Smartphone</c:v>
                  </c:pt>
                  <c:pt idx="2">
                    <c:v>Headphones</c:v>
                  </c:pt>
                  <c:pt idx="3">
                    <c:v>Desk Chair</c:v>
                  </c:pt>
                  <c:pt idx="4">
                    <c:v>Coffee Maker</c:v>
                  </c:pt>
                  <c:pt idx="5">
                    <c:v>Blender</c:v>
                  </c:pt>
                  <c:pt idx="6">
                    <c:v>T-Shirt</c:v>
                  </c:pt>
                  <c:pt idx="7">
                    <c:v>Jeans</c:v>
                  </c:pt>
                  <c:pt idx="8">
                    <c:v>Sneakers</c:v>
                  </c:pt>
                </c:lvl>
              </c:multiLvlStrCache>
            </c:multiLvlStrRef>
          </c:cat>
          <c:val>
            <c:numRef>
              <c:f>'Week 3 - Introduction to Excel '!$D$3:$D$11</c:f>
              <c:numCache>
                <c:formatCode>"$"#,##0.00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04-4D38-AF30-895D8980319D}"/>
            </c:ext>
          </c:extLst>
        </c:ser>
        <c:ser>
          <c:idx val="2"/>
          <c:order val="2"/>
          <c:tx>
            <c:strRef>
              <c:f>'Week 3 - Introduction to Excel '!$E$2</c:f>
              <c:strCache>
                <c:ptCount val="1"/>
                <c:pt idx="0">
                  <c:v>Mar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'Week 3 - Introduction to Excel '!$A$3:$B$11</c:f>
              <c:multiLvlStrCache>
                <c:ptCount val="9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Appliances</c:v>
                  </c:pt>
                  <c:pt idx="5">
                    <c:v>Appliances</c:v>
                  </c:pt>
                  <c:pt idx="6">
                    <c:v>Clothing</c:v>
                  </c:pt>
                  <c:pt idx="7">
                    <c:v>Clothing</c:v>
                  </c:pt>
                  <c:pt idx="8">
                    <c:v>Footwear</c:v>
                  </c:pt>
                </c:lvl>
                <c:lvl>
                  <c:pt idx="0">
                    <c:v>Laptop</c:v>
                  </c:pt>
                  <c:pt idx="1">
                    <c:v>Smartphone</c:v>
                  </c:pt>
                  <c:pt idx="2">
                    <c:v>Headphones</c:v>
                  </c:pt>
                  <c:pt idx="3">
                    <c:v>Desk Chair</c:v>
                  </c:pt>
                  <c:pt idx="4">
                    <c:v>Coffee Maker</c:v>
                  </c:pt>
                  <c:pt idx="5">
                    <c:v>Blender</c:v>
                  </c:pt>
                  <c:pt idx="6">
                    <c:v>T-Shirt</c:v>
                  </c:pt>
                  <c:pt idx="7">
                    <c:v>Jeans</c:v>
                  </c:pt>
                  <c:pt idx="8">
                    <c:v>Sneakers</c:v>
                  </c:pt>
                </c:lvl>
              </c:multiLvlStrCache>
            </c:multiLvlStrRef>
          </c:cat>
          <c:val>
            <c:numRef>
              <c:f>'Week 3 - Introduction to Excel '!$E$3:$E$11</c:f>
              <c:numCache>
                <c:formatCode>"$"#,##0.00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04-4D38-AF30-895D89803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059016"/>
        <c:axId val="454061064"/>
      </c:barChart>
      <c:catAx>
        <c:axId val="454059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061064"/>
        <c:crosses val="autoZero"/>
        <c:auto val="1"/>
        <c:lblAlgn val="ctr"/>
        <c:lblOffset val="100"/>
        <c:noMultiLvlLbl val="0"/>
      </c:catAx>
      <c:valAx>
        <c:axId val="45406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05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'Week 3 - Introduction to Excel '!$L$9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5F-46E9-9866-0AFE16BE5A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5F-46E9-9866-0AFE16BE5A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5F-46E9-9866-0AFE16BE5A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5F-46E9-9866-0AFE16BE5A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5F-46E9-9866-0AFE16BE5A82}"/>
              </c:ext>
            </c:extLst>
          </c:dPt>
          <c:cat>
            <c:strRef>
              <c:f>'Week 3 - Introduction to Excel '!$K$10:$K$14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  <c:pt idx="3">
                  <c:v>Clothing</c:v>
                </c:pt>
                <c:pt idx="4">
                  <c:v>Footwear</c:v>
                </c:pt>
              </c:strCache>
            </c:strRef>
          </c:cat>
          <c:val>
            <c:numRef>
              <c:f>'Week 3 - Introduction to Excel '!$L$10:$L$14</c:f>
              <c:numCache>
                <c:formatCode>"$"#,##0.00</c:formatCode>
                <c:ptCount val="5"/>
                <c:pt idx="0">
                  <c:v>7400</c:v>
                </c:pt>
                <c:pt idx="1">
                  <c:v>1050</c:v>
                </c:pt>
                <c:pt idx="2">
                  <c:v>710</c:v>
                </c:pt>
                <c:pt idx="3">
                  <c:v>1800</c:v>
                </c:pt>
                <c:pt idx="4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2-43B2-9D02-81534B011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13</xdr:row>
      <xdr:rowOff>85725</xdr:rowOff>
    </xdr:from>
    <xdr:to>
      <xdr:col>7</xdr:col>
      <xdr:colOff>723900</xdr:colOff>
      <xdr:row>32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DB1A6-E108-9AEF-382B-DD18AE93E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1009650</xdr:colOff>
      <xdr:row>14</xdr:row>
      <xdr:rowOff>238125</xdr:rowOff>
    </xdr:from>
    <xdr:to>
      <xdr:col>13</xdr:col>
      <xdr:colOff>19050</xdr:colOff>
      <xdr:row>27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8363E2-885F-4423-5335-AF6A19934055}"/>
            </a:ext>
            <a:ext uri="{147F2762-F138-4A5C-976F-8EAC2B608ADB}">
              <a16:predDERef xmlns:a16="http://schemas.microsoft.com/office/drawing/2014/main" pred="{877DB1A6-E108-9AEF-382B-DD18AE93E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27E19-769C-4286-A202-1A1D298FEEBD}" name="Table1" displayName="Table1" ref="A2:F11" totalsRowShown="0">
  <autoFilter ref="A2:F11" xr:uid="{85527E19-769C-4286-A202-1A1D298FEEBD}"/>
  <tableColumns count="6">
    <tableColumn id="1" xr3:uid="{2E5BE2C2-1EF0-4458-A154-95D10FAE35A3}" name="Product"/>
    <tableColumn id="2" xr3:uid="{D2F59946-E800-4085-B8C1-06857D1A227B}" name="Category"/>
    <tableColumn id="3" xr3:uid="{0F8058D9-5655-46ED-8EA8-961CB407B346}" name="Jan Sales" dataDxfId="3"/>
    <tableColumn id="4" xr3:uid="{39C4B54B-7891-4372-80E5-57BC683A1ED1}" name="Feb Sales" dataDxfId="2"/>
    <tableColumn id="5" xr3:uid="{162C451A-BE6C-429E-8223-C7E2463F1307}" name="Mar Sales" dataDxfId="1"/>
    <tableColumn id="6" xr3:uid="{35C8CFD7-A46B-4D8D-B68B-D3BDC6C78EBB}" name="Total Sales" dataDxfId="0">
      <calculatedColumnFormula>SUM(C3:E3)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workbookViewId="0">
      <selection activeCell="K15" sqref="K15"/>
    </sheetView>
  </sheetViews>
  <sheetFormatPr defaultRowHeight="15"/>
  <cols>
    <col min="1" max="1" width="12.5703125" bestFit="1" customWidth="1"/>
    <col min="2" max="2" width="11.42578125" bestFit="1" customWidth="1"/>
    <col min="3" max="3" width="11.5703125" bestFit="1" customWidth="1"/>
    <col min="4" max="5" width="12" bestFit="1" customWidth="1"/>
    <col min="6" max="6" width="13.140625" bestFit="1" customWidth="1"/>
    <col min="8" max="8" width="20.42578125" customWidth="1"/>
    <col min="9" max="9" width="11" bestFit="1" customWidth="1"/>
    <col min="10" max="10" width="40.7109375" customWidth="1"/>
    <col min="11" max="11" width="10.85546875" customWidth="1"/>
    <col min="12" max="12" width="9.85546875" bestFit="1" customWidth="1"/>
  </cols>
  <sheetData>
    <row r="1" spans="1:22" ht="22.5">
      <c r="A1" s="4" t="s">
        <v>0</v>
      </c>
      <c r="B1" s="4"/>
      <c r="C1" s="4"/>
      <c r="D1" s="4"/>
      <c r="E1" s="4"/>
      <c r="F1" s="4"/>
    </row>
    <row r="2" spans="1:22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H2" s="7" t="s">
        <v>7</v>
      </c>
      <c r="I2" s="8"/>
    </row>
    <row r="3" spans="1:22">
      <c r="A3" t="s">
        <v>8</v>
      </c>
      <c r="B3" t="s">
        <v>9</v>
      </c>
      <c r="C3" s="2">
        <v>1200</v>
      </c>
      <c r="D3" s="2">
        <v>1400</v>
      </c>
      <c r="E3" s="2">
        <v>1350</v>
      </c>
      <c r="F3" s="2">
        <f>SUM(C3:E3)</f>
        <v>3950</v>
      </c>
      <c r="H3" s="9" t="s">
        <v>6</v>
      </c>
      <c r="I3" s="11">
        <f>SUM(F3:F12)</f>
        <v>11810</v>
      </c>
    </row>
    <row r="4" spans="1:22">
      <c r="A4" t="s">
        <v>10</v>
      </c>
      <c r="B4" t="s">
        <v>9</v>
      </c>
      <c r="C4" s="2">
        <v>800</v>
      </c>
      <c r="D4" s="2">
        <v>950</v>
      </c>
      <c r="E4" s="2">
        <v>1100</v>
      </c>
      <c r="F4" s="2">
        <f t="shared" ref="F4:F11" si="0">SUM(C4:E4)</f>
        <v>2850</v>
      </c>
      <c r="H4" s="9" t="s">
        <v>11</v>
      </c>
      <c r="I4" s="11">
        <f>AVERAGE(C3:E12)</f>
        <v>437.40740740740739</v>
      </c>
    </row>
    <row r="5" spans="1:22">
      <c r="A5" t="s">
        <v>12</v>
      </c>
      <c r="B5" t="s">
        <v>9</v>
      </c>
      <c r="C5" s="2">
        <v>150</v>
      </c>
      <c r="D5" s="2">
        <v>200</v>
      </c>
      <c r="E5" s="2">
        <v>250</v>
      </c>
      <c r="F5" s="2">
        <f t="shared" si="0"/>
        <v>600</v>
      </c>
      <c r="H5" s="9" t="s">
        <v>13</v>
      </c>
      <c r="I5" s="11">
        <f>MAX(C3:E12)</f>
        <v>1400</v>
      </c>
    </row>
    <row r="6" spans="1:22">
      <c r="A6" t="s">
        <v>14</v>
      </c>
      <c r="B6" t="s">
        <v>15</v>
      </c>
      <c r="C6" s="2">
        <v>350</v>
      </c>
      <c r="D6" s="2">
        <v>300</v>
      </c>
      <c r="E6" s="2">
        <v>400</v>
      </c>
      <c r="F6" s="2">
        <f t="shared" si="0"/>
        <v>1050</v>
      </c>
      <c r="H6" s="10" t="s">
        <v>16</v>
      </c>
      <c r="I6" s="12">
        <f>MIN(C3:E12)</f>
        <v>80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t="s">
        <v>17</v>
      </c>
      <c r="B7" t="s">
        <v>18</v>
      </c>
      <c r="C7" s="2">
        <v>120</v>
      </c>
      <c r="D7" s="2">
        <v>140</v>
      </c>
      <c r="E7" s="2">
        <v>160</v>
      </c>
      <c r="F7" s="2">
        <f t="shared" si="0"/>
        <v>420</v>
      </c>
      <c r="J7" s="3"/>
    </row>
    <row r="8" spans="1:22">
      <c r="A8" t="s">
        <v>19</v>
      </c>
      <c r="B8" t="s">
        <v>18</v>
      </c>
      <c r="C8" s="2">
        <v>80</v>
      </c>
      <c r="D8" s="2">
        <v>100</v>
      </c>
      <c r="E8" s="2">
        <v>110</v>
      </c>
      <c r="F8" s="2">
        <f t="shared" si="0"/>
        <v>290</v>
      </c>
    </row>
    <row r="9" spans="1:22">
      <c r="A9" t="s">
        <v>20</v>
      </c>
      <c r="B9" t="s">
        <v>21</v>
      </c>
      <c r="C9" s="2">
        <v>200</v>
      </c>
      <c r="D9" s="2">
        <v>250</v>
      </c>
      <c r="E9" s="2">
        <v>300</v>
      </c>
      <c r="F9" s="2">
        <f t="shared" si="0"/>
        <v>750</v>
      </c>
      <c r="K9" s="13" t="s">
        <v>2</v>
      </c>
      <c r="L9" s="14" t="s">
        <v>6</v>
      </c>
    </row>
    <row r="10" spans="1:22">
      <c r="A10" t="s">
        <v>22</v>
      </c>
      <c r="B10" t="s">
        <v>21</v>
      </c>
      <c r="C10" s="2">
        <v>300</v>
      </c>
      <c r="D10" s="2">
        <v>350</v>
      </c>
      <c r="E10" s="2">
        <v>400</v>
      </c>
      <c r="F10" s="2">
        <f t="shared" si="0"/>
        <v>1050</v>
      </c>
      <c r="K10" s="15" t="s">
        <v>9</v>
      </c>
      <c r="L10" s="11">
        <f>SUMIFS($F$3:$F$11,$B$3:$B$11,K10)</f>
        <v>7400</v>
      </c>
    </row>
    <row r="11" spans="1:22">
      <c r="A11" t="s">
        <v>23</v>
      </c>
      <c r="B11" t="s">
        <v>24</v>
      </c>
      <c r="C11" s="2">
        <v>250</v>
      </c>
      <c r="D11" s="2">
        <v>280</v>
      </c>
      <c r="E11" s="2">
        <v>320</v>
      </c>
      <c r="F11" s="2">
        <f t="shared" si="0"/>
        <v>850</v>
      </c>
      <c r="K11" s="15" t="s">
        <v>15</v>
      </c>
      <c r="L11" s="11">
        <f t="shared" ref="L11:L14" si="1">SUMIFS($F$3:$F$11,$B$3:$B$11,K11)</f>
        <v>1050</v>
      </c>
    </row>
    <row r="12" spans="1:22">
      <c r="A12" t="s">
        <v>25</v>
      </c>
      <c r="K12" s="15" t="s">
        <v>18</v>
      </c>
      <c r="L12" s="11">
        <f t="shared" si="1"/>
        <v>710</v>
      </c>
    </row>
    <row r="13" spans="1:22">
      <c r="K13" s="15" t="s">
        <v>21</v>
      </c>
      <c r="L13" s="11">
        <f t="shared" si="1"/>
        <v>1800</v>
      </c>
    </row>
    <row r="14" spans="1:22">
      <c r="K14" s="16" t="s">
        <v>24</v>
      </c>
      <c r="L14" s="12">
        <f t="shared" si="1"/>
        <v>850</v>
      </c>
    </row>
    <row r="15" spans="1:22" ht="25.5" customHeight="1"/>
    <row r="16" spans="1:22" ht="17.25" customHeight="1"/>
    <row r="18" ht="18.75" customHeight="1"/>
    <row r="22" ht="20.25" customHeight="1"/>
    <row r="23" ht="17.25" customHeight="1"/>
    <row r="26" ht="19.5" customHeight="1"/>
    <row r="35" spans="1:1" ht="19.5" customHeight="1"/>
    <row r="37" spans="1:1">
      <c r="A37" t="s">
        <v>26</v>
      </c>
    </row>
    <row r="38" spans="1:1">
      <c r="A38" t="s">
        <v>27</v>
      </c>
    </row>
    <row r="39" spans="1:1">
      <c r="A39" t="s">
        <v>28</v>
      </c>
    </row>
    <row r="40" spans="1:1">
      <c r="A40" t="s">
        <v>29</v>
      </c>
    </row>
    <row r="41" spans="1:1">
      <c r="A41" t="s">
        <v>30</v>
      </c>
    </row>
    <row r="42" spans="1:1">
      <c r="A42" t="s">
        <v>31</v>
      </c>
    </row>
    <row r="43" spans="1:1">
      <c r="A43" t="s">
        <v>32</v>
      </c>
    </row>
    <row r="44" spans="1:1">
      <c r="A44" t="s">
        <v>33</v>
      </c>
    </row>
  </sheetData>
  <mergeCells count="2">
    <mergeCell ref="A1:F1"/>
    <mergeCell ref="H2:I2"/>
  </mergeCells>
  <conditionalFormatting sqref="F3:F11">
    <cfRule type="top10" dxfId="4" priority="1" rank="3"/>
  </conditionalFormatting>
  <pageMargins left="0.7" right="0.7" top="0.75" bottom="0.75" header="0.3" footer="0.3"/>
  <pageSetup fitToWidth="0" fitToHeight="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2025-04-10T17:53:45Z</dcterms:created>
  <dcterms:modified xsi:type="dcterms:W3CDTF">2026-08-01T00:21:53Z</dcterms:modified>
  <cp:category/>
  <cp:contentStatus/>
</cp:coreProperties>
</file>